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n Adriaan Naude\OneDrive\Desktop\HOME AND FARM Installers\Quotations\"/>
    </mc:Choice>
  </mc:AlternateContent>
  <xr:revisionPtr revIDLastSave="0" documentId="13_ncr:1_{FC022347-0021-42B3-8DEA-0039EBDCD313}" xr6:coauthVersionLast="47" xr6:coauthVersionMax="47" xr10:uidLastSave="{00000000-0000-0000-0000-000000000000}"/>
  <bookViews>
    <workbookView xWindow="-98" yWindow="-98" windowWidth="21795" windowHeight="13875" activeTab="1" xr2:uid="{BFFC8E5F-7F67-4CE7-9F56-F025B93B1EE4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6" i="2" l="1"/>
  <c r="K15" i="1"/>
  <c r="D13" i="1"/>
  <c r="G25" i="2"/>
  <c r="G27" i="2" s="1"/>
  <c r="G28" i="2" l="1"/>
  <c r="G29" i="2" s="1"/>
  <c r="D17" i="1" l="1"/>
</calcChain>
</file>

<file path=xl/sharedStrings.xml><?xml version="1.0" encoding="utf-8"?>
<sst xmlns="http://schemas.openxmlformats.org/spreadsheetml/2006/main" count="35" uniqueCount="35">
  <si>
    <t xml:space="preserve">Routing 20m </t>
  </si>
  <si>
    <t>Intercom on pole</t>
  </si>
  <si>
    <t xml:space="preserve">Call Out, </t>
  </si>
  <si>
    <t>1080P Intercom with Inside monitor panel</t>
  </si>
  <si>
    <t>Cable cat 5e 20m</t>
  </si>
  <si>
    <t xml:space="preserve">Cost </t>
  </si>
  <si>
    <t xml:space="preserve">Profit </t>
  </si>
  <si>
    <t xml:space="preserve">QUOTATION </t>
  </si>
  <si>
    <t>Item nr</t>
  </si>
  <si>
    <t>Description</t>
  </si>
  <si>
    <t>Unit Price</t>
  </si>
  <si>
    <t>Amount</t>
  </si>
  <si>
    <t>Notes:</t>
  </si>
  <si>
    <t>SUBTOTAL</t>
  </si>
  <si>
    <t>Vat</t>
  </si>
  <si>
    <t>TOTAL</t>
  </si>
  <si>
    <r>
      <rPr>
        <b/>
        <sz val="11"/>
        <color theme="1"/>
        <rFont val="Aptos Narrow"/>
        <family val="2"/>
        <scheme val="minor"/>
      </rPr>
      <t>Address</t>
    </r>
    <r>
      <rPr>
        <sz val="11"/>
        <color theme="1"/>
        <rFont val="Aptos Narrow"/>
        <family val="2"/>
        <scheme val="minor"/>
      </rPr>
      <t>: 69 State Road, President Park AH, Midrand</t>
    </r>
  </si>
  <si>
    <t>Gauteng , South Africa</t>
  </si>
  <si>
    <t xml:space="preserve">All Material Available. </t>
  </si>
  <si>
    <r>
      <rPr>
        <b/>
        <sz val="11"/>
        <color theme="1"/>
        <rFont val="Aptos Narrow"/>
        <family val="2"/>
        <scheme val="minor"/>
      </rPr>
      <t>Phone No</t>
    </r>
    <r>
      <rPr>
        <sz val="11"/>
        <color theme="1"/>
        <rFont val="Aptos Narrow"/>
        <family val="2"/>
        <scheme val="minor"/>
      </rPr>
      <t>: 075 461 3153</t>
    </r>
  </si>
  <si>
    <r>
      <rPr>
        <b/>
        <sz val="11"/>
        <color theme="1"/>
        <rFont val="Aptos Narrow"/>
        <family val="2"/>
        <scheme val="minor"/>
      </rPr>
      <t>E-Mail</t>
    </r>
    <r>
      <rPr>
        <sz val="11"/>
        <color theme="1"/>
        <rFont val="Aptos Narrow"/>
        <family val="2"/>
        <scheme val="minor"/>
      </rPr>
      <t>: jan@netcamsa.co.za</t>
    </r>
  </si>
  <si>
    <t xml:space="preserve">Units </t>
  </si>
  <si>
    <r>
      <rPr>
        <b/>
        <sz val="11"/>
        <color theme="1"/>
        <rFont val="Aptos Narrow"/>
        <family val="2"/>
        <scheme val="minor"/>
      </rPr>
      <t>Name</t>
    </r>
    <r>
      <rPr>
        <sz val="11"/>
        <color theme="1"/>
        <rFont val="Aptos Narrow"/>
        <family val="2"/>
        <scheme val="minor"/>
      </rPr>
      <t>: Wilna</t>
    </r>
  </si>
  <si>
    <r>
      <rPr>
        <b/>
        <sz val="11"/>
        <color theme="1"/>
        <rFont val="Aptos Narrow"/>
        <family val="2"/>
        <scheme val="minor"/>
      </rPr>
      <t>Company</t>
    </r>
    <r>
      <rPr>
        <sz val="11"/>
        <color theme="1"/>
        <rFont val="Aptos Narrow"/>
        <family val="2"/>
        <scheme val="minor"/>
      </rPr>
      <t>: Zwartkop Christian School</t>
    </r>
  </si>
  <si>
    <r>
      <rPr>
        <b/>
        <sz val="11"/>
        <color theme="1"/>
        <rFont val="Aptos Narrow"/>
        <family val="2"/>
        <scheme val="minor"/>
      </rPr>
      <t>Phone No</t>
    </r>
    <r>
      <rPr>
        <sz val="11"/>
        <color theme="1"/>
        <rFont val="Aptos Narrow"/>
        <family val="2"/>
        <scheme val="minor"/>
      </rPr>
      <t>: 0636168049</t>
    </r>
  </si>
  <si>
    <r>
      <rPr>
        <b/>
        <sz val="11"/>
        <color theme="1"/>
        <rFont val="Aptos Narrow"/>
        <family val="2"/>
        <scheme val="minor"/>
      </rPr>
      <t xml:space="preserve">   E-mail</t>
    </r>
    <r>
      <rPr>
        <sz val="11"/>
        <color theme="1"/>
        <rFont val="Aptos Narrow"/>
        <family val="2"/>
        <scheme val="minor"/>
      </rPr>
      <t>: admin@zwarkopcs.co.za</t>
    </r>
  </si>
  <si>
    <r>
      <rPr>
        <b/>
        <sz val="11"/>
        <color theme="1"/>
        <rFont val="Aptos Narrow"/>
        <family val="2"/>
        <scheme val="minor"/>
      </rPr>
      <t>Address</t>
    </r>
    <r>
      <rPr>
        <sz val="11"/>
        <color theme="1"/>
        <rFont val="Aptos Narrow"/>
        <family val="2"/>
        <scheme val="minor"/>
      </rPr>
      <t>: 142 Pine Ave, Bronberrick, Centurion, 0157</t>
    </r>
  </si>
  <si>
    <r>
      <t xml:space="preserve">PREPARED BY : </t>
    </r>
    <r>
      <rPr>
        <sz val="11"/>
        <color theme="1"/>
        <rFont val="Aptos Narrow"/>
        <family val="2"/>
        <scheme val="minor"/>
      </rPr>
      <t>Jan Naude</t>
    </r>
  </si>
  <si>
    <r>
      <t>DATE 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20 April 2026</t>
    </r>
  </si>
  <si>
    <t>Routing with routing material and consumable 20m</t>
  </si>
  <si>
    <t>inte</t>
  </si>
  <si>
    <t xml:space="preserve">Analogue Push to open Gate Intercom </t>
  </si>
  <si>
    <r>
      <t>QUOTATION VALID :</t>
    </r>
    <r>
      <rPr>
        <sz val="11"/>
        <color theme="1"/>
        <rFont val="Aptos Narrow"/>
        <family val="2"/>
        <scheme val="minor"/>
      </rPr>
      <t xml:space="preserve"> 30 days from date of issue</t>
    </r>
  </si>
  <si>
    <t>QUOTATION NO : NCS6745 Rev3</t>
  </si>
  <si>
    <t>RE : Zwartkop Christian School - Intercom Analogue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</si>
</sst>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R&quot;#,##0;[Red]\-&quot;R&quot;#,##0"/>
    <numFmt numFmtId="43" formatCode="_-* #,##0.00_-;\-* #,##0.00_-;_-* &quot;-&quot;??_-;_-@_-"/>
    <numFmt numFmtId="164" formatCode="[$-F800]dddd\,\ mmmm\ dd\,\ yyyy"/>
    <numFmt numFmtId="165" formatCode="_-[$R-1C09]* #,##0.00_-;\-[$R-1C09]* #,##0.00_-;_-[$R-1C09]* &quot;-&quot;??_-;_-@_-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2"/>
      <color theme="0"/>
      <name val="Arial Black"/>
      <family val="2"/>
    </font>
    <font>
      <sz val="36"/>
      <color theme="0"/>
      <name val="Arial Black"/>
      <family val="2"/>
    </font>
    <font>
      <b/>
      <sz val="11"/>
      <color theme="0"/>
      <name val="Arial Black"/>
      <family val="2"/>
    </font>
    <font>
      <sz val="18"/>
      <color theme="1"/>
      <name val="Aptos Narrow"/>
      <family val="2"/>
      <scheme val="minor"/>
    </font>
    <font>
      <sz val="11"/>
      <color theme="1"/>
      <name val="Arial Black"/>
      <family val="2"/>
    </font>
    <font>
      <b/>
      <sz val="9"/>
      <name val="Arial Black"/>
      <family val="2"/>
    </font>
    <font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0">
    <xf numFmtId="0" fontId="0" fillId="0" borderId="0" xfId="0"/>
    <xf numFmtId="6" fontId="0" fillId="0" borderId="0" xfId="0" applyNumberFormat="1"/>
    <xf numFmtId="0" fontId="5" fillId="2" borderId="2" xfId="0" applyFont="1" applyFill="1" applyBorder="1" applyAlignment="1">
      <alignment horizontal="right" vertical="center"/>
    </xf>
    <xf numFmtId="0" fontId="5" fillId="2" borderId="3" xfId="0" applyFont="1" applyFill="1" applyBorder="1" applyAlignment="1">
      <alignment horizontal="right" vertical="center"/>
    </xf>
    <xf numFmtId="0" fontId="5" fillId="2" borderId="5" xfId="0" applyFont="1" applyFill="1" applyBorder="1" applyAlignment="1">
      <alignment horizontal="right" vertic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5" xfId="0" applyFill="1" applyBorder="1"/>
    <xf numFmtId="43" fontId="0" fillId="2" borderId="4" xfId="1" applyFont="1" applyFill="1" applyBorder="1"/>
    <xf numFmtId="43" fontId="0" fillId="2" borderId="0" xfId="1" applyFont="1" applyFill="1" applyBorder="1"/>
    <xf numFmtId="0" fontId="3" fillId="2" borderId="5" xfId="0" applyFont="1" applyFill="1" applyBorder="1" applyAlignment="1">
      <alignment horizontal="left"/>
    </xf>
    <xf numFmtId="43" fontId="3" fillId="2" borderId="4" xfId="1" applyFont="1" applyFill="1" applyBorder="1" applyAlignment="1">
      <alignment horizontal="left"/>
    </xf>
    <xf numFmtId="43" fontId="3" fillId="2" borderId="0" xfId="1" applyFont="1" applyFill="1" applyBorder="1" applyAlignment="1">
      <alignment horizontal="left"/>
    </xf>
    <xf numFmtId="0" fontId="10" fillId="3" borderId="4" xfId="0" applyFont="1" applyFill="1" applyBorder="1"/>
    <xf numFmtId="0" fontId="10" fillId="3" borderId="6" xfId="0" applyFont="1" applyFill="1" applyBorder="1"/>
    <xf numFmtId="0" fontId="0" fillId="3" borderId="7" xfId="0" applyFill="1" applyBorder="1"/>
    <xf numFmtId="0" fontId="3" fillId="2" borderId="5" xfId="0" applyFont="1" applyFill="1" applyBorder="1"/>
    <xf numFmtId="0" fontId="8" fillId="2" borderId="4" xfId="0" applyFont="1" applyFill="1" applyBorder="1" applyAlignment="1">
      <alignment horizontal="center"/>
    </xf>
    <xf numFmtId="0" fontId="8" fillId="2" borderId="0" xfId="0" applyFont="1" applyFill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3" fillId="3" borderId="4" xfId="0" applyFont="1" applyFill="1" applyBorder="1"/>
    <xf numFmtId="0" fontId="0" fillId="2" borderId="8" xfId="0" applyFill="1" applyBorder="1" applyAlignment="1">
      <alignment horizontal="left" wrapText="1"/>
    </xf>
    <xf numFmtId="0" fontId="0" fillId="2" borderId="8" xfId="0" applyFill="1" applyBorder="1" applyAlignment="1">
      <alignment horizontal="right" indent="1"/>
    </xf>
    <xf numFmtId="0" fontId="4" fillId="2" borderId="2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2" fillId="2" borderId="4" xfId="0" applyFont="1" applyFill="1" applyBorder="1"/>
    <xf numFmtId="0" fontId="0" fillId="0" borderId="1" xfId="0" applyBorder="1"/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horizontal="right" vertical="center"/>
    </xf>
    <xf numFmtId="0" fontId="0" fillId="2" borderId="0" xfId="0" applyFill="1" applyAlignment="1">
      <alignment horizontal="center"/>
    </xf>
    <xf numFmtId="164" fontId="3" fillId="2" borderId="0" xfId="0" applyNumberFormat="1" applyFont="1" applyFill="1"/>
    <xf numFmtId="0" fontId="3" fillId="2" borderId="0" xfId="0" applyFont="1" applyFill="1"/>
    <xf numFmtId="0" fontId="0" fillId="2" borderId="0" xfId="0" applyFill="1"/>
    <xf numFmtId="0" fontId="7" fillId="2" borderId="0" xfId="0" applyFont="1" applyFill="1"/>
    <xf numFmtId="0" fontId="3" fillId="2" borderId="0" xfId="0" applyFont="1" applyFill="1" applyAlignment="1">
      <alignment horizontal="left"/>
    </xf>
    <xf numFmtId="0" fontId="0" fillId="2" borderId="9" xfId="0" applyFill="1" applyBorder="1" applyAlignment="1">
      <alignment horizontal="left"/>
    </xf>
    <xf numFmtId="165" fontId="0" fillId="2" borderId="10" xfId="1" applyNumberFormat="1" applyFont="1" applyFill="1" applyBorder="1" applyAlignment="1">
      <alignment horizontal="center"/>
    </xf>
    <xf numFmtId="0" fontId="6" fillId="2" borderId="4" xfId="0" applyFont="1" applyFill="1" applyBorder="1"/>
    <xf numFmtId="0" fontId="6" fillId="2" borderId="0" xfId="0" applyFont="1" applyFill="1"/>
    <xf numFmtId="6" fontId="0" fillId="4" borderId="0" xfId="0" applyNumberFormat="1" applyFill="1"/>
    <xf numFmtId="0" fontId="0" fillId="3" borderId="0" xfId="0" applyFill="1"/>
    <xf numFmtId="0" fontId="9" fillId="3" borderId="12" xfId="0" applyFont="1" applyFill="1" applyBorder="1" applyAlignment="1">
      <alignment horizontal="left" vertical="center"/>
    </xf>
    <xf numFmtId="0" fontId="9" fillId="3" borderId="13" xfId="0" applyFont="1" applyFill="1" applyBorder="1" applyAlignment="1">
      <alignment horizontal="left" vertical="center"/>
    </xf>
    <xf numFmtId="0" fontId="9" fillId="3" borderId="13" xfId="0" applyFont="1" applyFill="1" applyBorder="1" applyAlignment="1">
      <alignment horizontal="right" vertical="center"/>
    </xf>
    <xf numFmtId="0" fontId="9" fillId="3" borderId="14" xfId="0" applyFont="1" applyFill="1" applyBorder="1" applyAlignment="1">
      <alignment horizontal="right" vertical="center"/>
    </xf>
    <xf numFmtId="165" fontId="0" fillId="2" borderId="15" xfId="1" applyNumberFormat="1" applyFont="1" applyFill="1" applyBorder="1" applyAlignment="1">
      <alignment horizontal="center"/>
    </xf>
    <xf numFmtId="165" fontId="3" fillId="2" borderId="17" xfId="1" applyNumberFormat="1" applyFont="1" applyFill="1" applyBorder="1" applyAlignment="1">
      <alignment horizontal="center"/>
    </xf>
    <xf numFmtId="6" fontId="0" fillId="5" borderId="0" xfId="0" applyNumberFormat="1" applyFill="1"/>
    <xf numFmtId="0" fontId="0" fillId="2" borderId="4" xfId="1" applyNumberFormat="1" applyFont="1" applyFill="1" applyBorder="1" applyAlignment="1">
      <alignment horizontal="left"/>
    </xf>
    <xf numFmtId="0" fontId="0" fillId="2" borderId="0" xfId="1" applyNumberFormat="1" applyFont="1" applyFill="1" applyBorder="1" applyAlignment="1">
      <alignment horizontal="left"/>
    </xf>
    <xf numFmtId="0" fontId="0" fillId="2" borderId="4" xfId="1" applyNumberFormat="1" applyFont="1" applyFill="1" applyBorder="1" applyAlignment="1">
      <alignment horizontal="left" indent="1"/>
    </xf>
    <xf numFmtId="0" fontId="0" fillId="2" borderId="0" xfId="1" applyNumberFormat="1" applyFont="1" applyFill="1" applyBorder="1" applyAlignment="1">
      <alignment horizontal="left" indent="1"/>
    </xf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9" fillId="3" borderId="13" xfId="0" applyFont="1" applyFill="1" applyBorder="1" applyAlignment="1">
      <alignment horizontal="right" vertical="center"/>
    </xf>
    <xf numFmtId="165" fontId="0" fillId="2" borderId="8" xfId="1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38099</xdr:colOff>
      <xdr:row>1</xdr:row>
      <xdr:rowOff>24032</xdr:rowOff>
    </xdr:from>
    <xdr:to>
      <xdr:col>2</xdr:col>
      <xdr:colOff>1434175</xdr:colOff>
      <xdr:row>5</xdr:row>
      <xdr:rowOff>14953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391C725-55BB-8366-700E-D5845FA9E4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1037" y="209770"/>
          <a:ext cx="2267613" cy="2272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159C6-A239-4055-BA7B-D38450564C1F}">
  <dimension ref="C7:K20"/>
  <sheetViews>
    <sheetView zoomScale="130" zoomScaleNormal="130" workbookViewId="0">
      <selection activeCell="D7" sqref="D7:D11"/>
    </sheetView>
  </sheetViews>
  <sheetFormatPr defaultRowHeight="14.25" x14ac:dyDescent="0.45"/>
  <cols>
    <col min="3" max="3" width="33.46484375" bestFit="1" customWidth="1"/>
    <col min="11" max="11" width="13" customWidth="1"/>
  </cols>
  <sheetData>
    <row r="7" spans="3:11" x14ac:dyDescent="0.45">
      <c r="C7" t="s">
        <v>2</v>
      </c>
      <c r="D7" s="39">
        <v>250</v>
      </c>
    </row>
    <row r="8" spans="3:11" x14ac:dyDescent="0.45">
      <c r="C8" t="s">
        <v>1</v>
      </c>
      <c r="D8" s="39"/>
    </row>
    <row r="9" spans="3:11" x14ac:dyDescent="0.45">
      <c r="C9" t="s">
        <v>0</v>
      </c>
      <c r="D9" s="47">
        <v>1500</v>
      </c>
    </row>
    <row r="10" spans="3:11" x14ac:dyDescent="0.45">
      <c r="C10" t="s">
        <v>3</v>
      </c>
      <c r="D10" s="39">
        <v>500</v>
      </c>
    </row>
    <row r="11" spans="3:11" x14ac:dyDescent="0.45">
      <c r="C11" t="s">
        <v>4</v>
      </c>
      <c r="D11" s="39">
        <v>100</v>
      </c>
    </row>
    <row r="12" spans="3:11" x14ac:dyDescent="0.45">
      <c r="D12" s="1"/>
    </row>
    <row r="13" spans="3:11" x14ac:dyDescent="0.45">
      <c r="D13" s="1">
        <f>SUM(D7:D12)</f>
        <v>2350</v>
      </c>
    </row>
    <row r="15" spans="3:11" x14ac:dyDescent="0.45">
      <c r="C15" t="s">
        <v>5</v>
      </c>
      <c r="D15" s="1">
        <v>4100</v>
      </c>
      <c r="F15">
        <v>2500</v>
      </c>
      <c r="G15">
        <v>350</v>
      </c>
      <c r="H15">
        <v>360</v>
      </c>
      <c r="I15">
        <v>200</v>
      </c>
      <c r="J15">
        <v>200</v>
      </c>
      <c r="K15">
        <f>SUM(F15:J15)</f>
        <v>3610</v>
      </c>
    </row>
    <row r="17" spans="3:8" x14ac:dyDescent="0.45">
      <c r="C17" t="s">
        <v>6</v>
      </c>
      <c r="D17" s="1">
        <f>SUM(D13-D15)</f>
        <v>-1750</v>
      </c>
    </row>
    <row r="18" spans="3:8" x14ac:dyDescent="0.45">
      <c r="D18" s="1"/>
    </row>
    <row r="20" spans="3:8" x14ac:dyDescent="0.45">
      <c r="G20" t="s">
        <v>30</v>
      </c>
      <c r="H20">
        <v>1050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EE21D-71AE-40E8-9231-394673196F03}">
  <dimension ref="B1:G29"/>
  <sheetViews>
    <sheetView tabSelected="1" view="pageBreakPreview" zoomScaleNormal="55" zoomScaleSheetLayoutView="100" workbookViewId="0">
      <selection activeCell="B22" sqref="B22"/>
    </sheetView>
  </sheetViews>
  <sheetFormatPr defaultRowHeight="14.25" x14ac:dyDescent="0.45"/>
  <cols>
    <col min="1" max="1" width="9" customWidth="1"/>
    <col min="2" max="2" width="12.19921875" customWidth="1"/>
    <col min="3" max="3" width="54.6640625" customWidth="1"/>
    <col min="4" max="4" width="16.3984375" customWidth="1"/>
    <col min="5" max="6" width="9" customWidth="1"/>
    <col min="7" max="7" width="17.265625" customWidth="1"/>
  </cols>
  <sheetData>
    <row r="1" spans="2:7" ht="14.65" thickBot="1" x14ac:dyDescent="0.5"/>
    <row r="2" spans="2:7" ht="55.15" x14ac:dyDescent="0.45">
      <c r="B2" s="26"/>
      <c r="C2" s="23"/>
      <c r="D2" s="2"/>
      <c r="E2" s="2"/>
      <c r="F2" s="2"/>
      <c r="G2" s="3"/>
    </row>
    <row r="3" spans="2:7" ht="55.15" x14ac:dyDescent="0.45">
      <c r="B3" s="24"/>
      <c r="C3" s="27"/>
      <c r="D3" s="28"/>
      <c r="E3" s="28"/>
      <c r="F3" s="28"/>
      <c r="G3" s="4"/>
    </row>
    <row r="4" spans="2:7" ht="55.15" x14ac:dyDescent="0.45">
      <c r="B4" s="25"/>
      <c r="D4" s="28"/>
      <c r="E4" s="28"/>
      <c r="F4" s="28"/>
      <c r="G4" s="4"/>
    </row>
    <row r="5" spans="2:7" x14ac:dyDescent="0.45">
      <c r="B5" s="52"/>
      <c r="C5" s="53"/>
      <c r="D5" s="53"/>
      <c r="E5" s="53"/>
      <c r="F5" s="53"/>
      <c r="G5" s="54"/>
    </row>
    <row r="6" spans="2:7" x14ac:dyDescent="0.45">
      <c r="B6" s="50" t="s">
        <v>16</v>
      </c>
      <c r="C6" s="51"/>
      <c r="D6" s="30" t="s">
        <v>28</v>
      </c>
      <c r="E6" s="53"/>
      <c r="F6" s="53"/>
      <c r="G6" s="54"/>
    </row>
    <row r="7" spans="2:7" x14ac:dyDescent="0.45">
      <c r="B7" s="50" t="s">
        <v>17</v>
      </c>
      <c r="C7" s="51"/>
      <c r="D7" s="31" t="s">
        <v>33</v>
      </c>
      <c r="E7" s="31"/>
      <c r="F7" s="31"/>
      <c r="G7" s="16"/>
    </row>
    <row r="8" spans="2:7" x14ac:dyDescent="0.45">
      <c r="B8" s="50" t="s">
        <v>19</v>
      </c>
      <c r="C8" s="51"/>
      <c r="D8" s="32"/>
      <c r="E8" s="32"/>
      <c r="F8" s="32"/>
      <c r="G8" s="7"/>
    </row>
    <row r="9" spans="2:7" x14ac:dyDescent="0.45">
      <c r="B9" s="50" t="s">
        <v>20</v>
      </c>
      <c r="C9" s="51"/>
      <c r="D9" s="32"/>
      <c r="E9" s="32"/>
      <c r="F9" s="32"/>
      <c r="G9" s="7"/>
    </row>
    <row r="10" spans="2:7" ht="14.25" customHeight="1" x14ac:dyDescent="0.65">
      <c r="B10" s="37"/>
      <c r="C10" s="38"/>
      <c r="D10" s="32"/>
      <c r="E10" s="32"/>
      <c r="F10" s="32"/>
      <c r="G10" s="7"/>
    </row>
    <row r="11" spans="2:7" ht="14.25" customHeight="1" x14ac:dyDescent="0.65">
      <c r="B11" s="37"/>
      <c r="C11" s="38"/>
      <c r="D11" s="31" t="s">
        <v>32</v>
      </c>
      <c r="E11" s="31"/>
      <c r="F11" s="31"/>
      <c r="G11" s="16"/>
    </row>
    <row r="12" spans="2:7" ht="14.25" customHeight="1" x14ac:dyDescent="0.65">
      <c r="B12" s="37"/>
      <c r="C12" s="38"/>
      <c r="D12" s="31" t="s">
        <v>27</v>
      </c>
      <c r="E12" s="31"/>
      <c r="F12" s="31"/>
      <c r="G12" s="16"/>
    </row>
    <row r="13" spans="2:7" x14ac:dyDescent="0.45">
      <c r="B13" s="50" t="s">
        <v>22</v>
      </c>
      <c r="C13" s="51"/>
      <c r="D13" s="31"/>
      <c r="E13" s="32"/>
      <c r="F13" s="32"/>
      <c r="G13" s="7"/>
    </row>
    <row r="14" spans="2:7" x14ac:dyDescent="0.45">
      <c r="B14" s="50" t="s">
        <v>23</v>
      </c>
      <c r="C14" s="51"/>
      <c r="D14" s="31"/>
      <c r="E14" s="32"/>
      <c r="F14" s="32"/>
      <c r="G14" s="7"/>
    </row>
    <row r="15" spans="2:7" x14ac:dyDescent="0.45">
      <c r="B15" s="50" t="s">
        <v>26</v>
      </c>
      <c r="C15" s="51"/>
      <c r="D15" s="32"/>
      <c r="E15" s="32"/>
      <c r="F15" s="32"/>
      <c r="G15" s="7"/>
    </row>
    <row r="16" spans="2:7" x14ac:dyDescent="0.45">
      <c r="B16" s="50"/>
      <c r="C16" s="51"/>
      <c r="D16" s="32"/>
      <c r="E16" s="32"/>
      <c r="F16" s="32"/>
      <c r="G16" s="7"/>
    </row>
    <row r="17" spans="2:7" ht="23.25" x14ac:dyDescent="0.7">
      <c r="B17" s="50" t="s">
        <v>24</v>
      </c>
      <c r="C17" s="51"/>
      <c r="D17" s="33" t="s">
        <v>7</v>
      </c>
      <c r="E17" s="32"/>
      <c r="F17" s="32"/>
      <c r="G17" s="7"/>
    </row>
    <row r="18" spans="2:7" x14ac:dyDescent="0.45">
      <c r="B18" s="48" t="s">
        <v>25</v>
      </c>
      <c r="C18" s="49"/>
      <c r="D18" s="32"/>
      <c r="E18" s="32"/>
      <c r="F18" s="32"/>
      <c r="G18" s="7"/>
    </row>
    <row r="19" spans="2:7" x14ac:dyDescent="0.45">
      <c r="B19" s="8"/>
      <c r="C19" s="9"/>
      <c r="D19" s="32"/>
      <c r="E19" s="32"/>
      <c r="F19" s="32"/>
      <c r="G19" s="7"/>
    </row>
    <row r="20" spans="2:7" x14ac:dyDescent="0.45">
      <c r="B20" s="8"/>
      <c r="C20" s="9"/>
      <c r="D20" s="34"/>
      <c r="E20" s="34"/>
      <c r="F20" s="34"/>
      <c r="G20" s="10"/>
    </row>
    <row r="21" spans="2:7" x14ac:dyDescent="0.45">
      <c r="B21" s="11" t="s">
        <v>34</v>
      </c>
      <c r="C21" s="12"/>
      <c r="D21" s="29"/>
      <c r="E21" s="29"/>
      <c r="F21" s="29"/>
      <c r="G21" s="6"/>
    </row>
    <row r="22" spans="2:7" x14ac:dyDescent="0.45">
      <c r="B22" s="5"/>
      <c r="C22" s="29"/>
      <c r="D22" s="29"/>
      <c r="E22" s="29"/>
      <c r="F22" s="29"/>
      <c r="G22" s="6"/>
    </row>
    <row r="23" spans="2:7" ht="17.25" thickBot="1" x14ac:dyDescent="0.7">
      <c r="B23" s="17"/>
      <c r="C23" s="18"/>
      <c r="D23" s="18"/>
      <c r="E23" s="18"/>
      <c r="F23" s="18"/>
      <c r="G23" s="19"/>
    </row>
    <row r="24" spans="2:7" x14ac:dyDescent="0.45">
      <c r="B24" s="41" t="s">
        <v>8</v>
      </c>
      <c r="C24" s="42" t="s">
        <v>9</v>
      </c>
      <c r="D24" s="43" t="s">
        <v>21</v>
      </c>
      <c r="E24" s="58" t="s">
        <v>10</v>
      </c>
      <c r="F24" s="58"/>
      <c r="G24" s="44" t="s">
        <v>11</v>
      </c>
    </row>
    <row r="25" spans="2:7" ht="13.25" customHeight="1" x14ac:dyDescent="0.45">
      <c r="B25" s="35">
        <v>1</v>
      </c>
      <c r="C25" s="21" t="s">
        <v>31</v>
      </c>
      <c r="D25" s="22">
        <v>1</v>
      </c>
      <c r="E25" s="59">
        <v>1250</v>
      </c>
      <c r="F25" s="59"/>
      <c r="G25" s="36">
        <f>D25*E25</f>
        <v>1250</v>
      </c>
    </row>
    <row r="26" spans="2:7" ht="13.25" customHeight="1" x14ac:dyDescent="0.45">
      <c r="B26" s="35">
        <v>2</v>
      </c>
      <c r="C26" s="21" t="s">
        <v>29</v>
      </c>
      <c r="D26" s="22">
        <v>1</v>
      </c>
      <c r="E26" s="59">
        <v>1500</v>
      </c>
      <c r="F26" s="59"/>
      <c r="G26" s="36">
        <f>D26*E26</f>
        <v>1500</v>
      </c>
    </row>
    <row r="27" spans="2:7" x14ac:dyDescent="0.45">
      <c r="B27" s="20" t="s">
        <v>12</v>
      </c>
      <c r="C27" s="40"/>
      <c r="D27" s="40"/>
      <c r="E27" s="55" t="s">
        <v>13</v>
      </c>
      <c r="F27" s="55"/>
      <c r="G27" s="45">
        <f>SUM(G25:G26)</f>
        <v>2750</v>
      </c>
    </row>
    <row r="28" spans="2:7" x14ac:dyDescent="0.45">
      <c r="B28" s="13" t="s">
        <v>18</v>
      </c>
      <c r="C28" s="40"/>
      <c r="D28" s="40"/>
      <c r="E28" s="56" t="s">
        <v>14</v>
      </c>
      <c r="F28" s="56"/>
      <c r="G28" s="36">
        <f>G27*15%</f>
        <v>412.5</v>
      </c>
    </row>
    <row r="29" spans="2:7" ht="14.65" thickBot="1" x14ac:dyDescent="0.5">
      <c r="B29" s="14"/>
      <c r="C29" s="15"/>
      <c r="D29" s="15"/>
      <c r="E29" s="57" t="s">
        <v>15</v>
      </c>
      <c r="F29" s="57"/>
      <c r="G29" s="46">
        <f>G27+G28</f>
        <v>3162.5</v>
      </c>
    </row>
  </sheetData>
  <mergeCells count="18">
    <mergeCell ref="E27:F27"/>
    <mergeCell ref="E28:F28"/>
    <mergeCell ref="E29:F29"/>
    <mergeCell ref="E24:F24"/>
    <mergeCell ref="E25:F25"/>
    <mergeCell ref="E26:F26"/>
    <mergeCell ref="B18:C18"/>
    <mergeCell ref="B7:C7"/>
    <mergeCell ref="B8:C8"/>
    <mergeCell ref="B9:C9"/>
    <mergeCell ref="B5:G5"/>
    <mergeCell ref="B6:C6"/>
    <mergeCell ref="E6:G6"/>
    <mergeCell ref="B13:C13"/>
    <mergeCell ref="B14:C14"/>
    <mergeCell ref="B15:C15"/>
    <mergeCell ref="B16:C16"/>
    <mergeCell ref="B17:C17"/>
  </mergeCells>
  <pageMargins left="0.7" right="0.7" top="0.75" bottom="0.75" header="0.3" footer="0.3"/>
  <pageSetup paperSize="9" scale="6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Adriaan Naudé</dc:creator>
  <cp:lastModifiedBy>Jan Adriaan Naudé</cp:lastModifiedBy>
  <cp:lastPrinted>2026-04-20T13:29:03Z</cp:lastPrinted>
  <dcterms:created xsi:type="dcterms:W3CDTF">2026-04-20T10:48:37Z</dcterms:created>
  <dcterms:modified xsi:type="dcterms:W3CDTF">2026-04-20T13:57:01Z</dcterms:modified>
</cp:coreProperties>
</file>