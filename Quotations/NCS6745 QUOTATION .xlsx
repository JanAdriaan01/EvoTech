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an Adriaan Naude\OneDrive\Desktop\HOME AND FARM Installers\Quotations\"/>
    </mc:Choice>
  </mc:AlternateContent>
  <xr:revisionPtr revIDLastSave="0" documentId="13_ncr:1_{F0EBE3A9-9ECB-4035-8681-4E7A96C1E231}" xr6:coauthVersionLast="47" xr6:coauthVersionMax="47" xr10:uidLastSave="{00000000-0000-0000-0000-000000000000}"/>
  <bookViews>
    <workbookView xWindow="-98" yWindow="-98" windowWidth="21795" windowHeight="13875" activeTab="1" xr2:uid="{BFFC8E5F-7F67-4CE7-9F56-F025B93B1EE4}"/>
  </bookViews>
  <sheets>
    <sheet name="Sheet1" sheetId="1" r:id="rId1"/>
    <sheet name="Sheet2" sheetId="2" r:id="rId2"/>
    <sheet name="Sheet3" sheetId="3" r:id="rId3"/>
  </sheets>
  <definedNames>
    <definedName name="_xlnm.Print_Area" localSheetId="1">Sheet2!$A$1:$H$36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0" i="2" l="1"/>
  <c r="F21" i="2"/>
  <c r="F19" i="2"/>
  <c r="K15" i="1"/>
  <c r="D13" i="1"/>
  <c r="F18" i="2"/>
  <c r="F24" i="2" l="1"/>
  <c r="F25" i="2" s="1"/>
  <c r="F26" i="2" s="1"/>
  <c r="D17" i="1" l="1"/>
  <c r="F2" i="2" a="1"/>
  <c r="F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<sst xmlns="http://schemas.openxmlformats.org/spreadsheetml/2006/main" count="37" uniqueCount="37">
  <si>
    <t xml:space="preserve">Routing 20m </t>
  </si>
  <si>
    <t>Intercom on pole</t>
  </si>
  <si>
    <t xml:space="preserve">Call Out, </t>
  </si>
  <si>
    <t>1080P Intercom with Inside monitor panel</t>
  </si>
  <si>
    <t>Cable cat 5e 20m</t>
  </si>
  <si>
    <t xml:space="preserve">Cost </t>
  </si>
  <si>
    <t xml:space="preserve">Profit </t>
  </si>
  <si>
    <t>Amount</t>
  </si>
  <si>
    <t>Notes:</t>
  </si>
  <si>
    <t>SUBTOTAL</t>
  </si>
  <si>
    <t>Vat</t>
  </si>
  <si>
    <t>TOTAL</t>
  </si>
  <si>
    <t>Gauteng , South Africa</t>
  </si>
  <si>
    <t xml:space="preserve">All Material Available. </t>
  </si>
  <si>
    <t>inte</t>
  </si>
  <si>
    <r>
      <t>QUOTATION VALID :</t>
    </r>
    <r>
      <rPr>
        <sz val="11"/>
        <color theme="1"/>
        <rFont val="Aptos Narrow"/>
        <family val="2"/>
        <scheme val="minor"/>
      </rPr>
      <t xml:space="preserve"> 30 days from date of issue</t>
    </r>
  </si>
  <si>
    <t>DATE : 06 May 2026</t>
  </si>
  <si>
    <t>Qoute</t>
  </si>
  <si>
    <t>Order IT Now PTY LTD, 2018/586585</t>
  </si>
  <si>
    <t xml:space="preserve">44 Acacia Street, Noordwyk, </t>
  </si>
  <si>
    <t>Midrand, Gauteng, 1685</t>
  </si>
  <si>
    <t>South Africa</t>
  </si>
  <si>
    <t>Quote Date: 6 May 2026</t>
  </si>
  <si>
    <t xml:space="preserve">Validity : 30 days </t>
  </si>
  <si>
    <r>
      <t xml:space="preserve">Name </t>
    </r>
    <r>
      <rPr>
        <b/>
        <sz val="11"/>
        <color theme="1"/>
        <rFont val="Aptos Narrow"/>
        <family val="2"/>
        <scheme val="minor"/>
      </rPr>
      <t>:</t>
    </r>
    <r>
      <rPr>
        <sz val="11"/>
        <color theme="1"/>
        <rFont val="Aptos Narrow"/>
        <family val="2"/>
        <scheme val="minor"/>
      </rPr>
      <t xml:space="preserve"> Vic Maharaj</t>
    </r>
  </si>
  <si>
    <r>
      <rPr>
        <b/>
        <sz val="11"/>
        <color theme="1"/>
        <rFont val="Aptos Narrow"/>
        <family val="2"/>
        <scheme val="minor"/>
      </rPr>
      <t>Phone No</t>
    </r>
    <r>
      <rPr>
        <sz val="11"/>
        <color theme="1"/>
        <rFont val="Aptos Narrow"/>
        <family val="2"/>
        <scheme val="minor"/>
      </rPr>
      <t>: 082 994 2302</t>
    </r>
  </si>
  <si>
    <r>
      <rPr>
        <b/>
        <sz val="11"/>
        <color theme="1"/>
        <rFont val="Aptos Narrow"/>
        <family val="2"/>
        <scheme val="minor"/>
      </rPr>
      <t>E-Mail</t>
    </r>
    <r>
      <rPr>
        <sz val="11"/>
        <color theme="1"/>
        <rFont val="Aptos Narrow"/>
        <family val="2"/>
        <scheme val="minor"/>
      </rPr>
      <t>: vicmaharaj@icloud.com</t>
    </r>
  </si>
  <si>
    <r>
      <rPr>
        <b/>
        <sz val="11"/>
        <color theme="1"/>
        <rFont val="Aptos Narrow"/>
        <family val="2"/>
        <scheme val="minor"/>
      </rPr>
      <t>Address</t>
    </r>
    <r>
      <rPr>
        <sz val="11"/>
        <color theme="1"/>
        <rFont val="Aptos Narrow"/>
        <family val="2"/>
        <scheme val="minor"/>
      </rPr>
      <t xml:space="preserve">: Kyalami </t>
    </r>
  </si>
  <si>
    <t>Items</t>
  </si>
  <si>
    <t xml:space="preserve">Price </t>
  </si>
  <si>
    <t xml:space="preserve">Qty </t>
  </si>
  <si>
    <t xml:space="preserve">Routing Where required </t>
  </si>
  <si>
    <r>
      <t xml:space="preserve">PREPARED BY : </t>
    </r>
    <r>
      <rPr>
        <sz val="11"/>
        <color theme="1"/>
        <rFont val="Aptos Narrow"/>
        <family val="2"/>
        <scheme val="minor"/>
      </rPr>
      <t xml:space="preserve">Jan </t>
    </r>
  </si>
  <si>
    <t>patch codord 1 for printer to cudy (art room ) &amp; (cuddy to ont)</t>
  </si>
  <si>
    <t xml:space="preserve">Network Point Cat6  </t>
  </si>
  <si>
    <t xml:space="preserve">Cabinet 9u  with fan and pdu </t>
  </si>
  <si>
    <t>QUOTATION NO : 67473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</si>
</sst>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R&quot;#,##0;[Red]\-&quot;R&quot;#,##0"/>
    <numFmt numFmtId="43" formatCode="_-* #,##0.00_-;\-* #,##0.00_-;_-* &quot;-&quot;??_-;_-@_-"/>
    <numFmt numFmtId="164" formatCode="[$-F800]dddd\,\ mmmm\ dd\,\ yyyy"/>
    <numFmt numFmtId="165" formatCode="_-[$R-1C09]* #,##0.00_-;\-[$R-1C09]* #,##0.00_-;_-[$R-1C09]* &quot;-&quot;??_-;_-@_-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0"/>
      <name val="Arial Black"/>
      <family val="2"/>
    </font>
    <font>
      <sz val="36"/>
      <color theme="0"/>
      <name val="Arial Black"/>
      <family val="2"/>
    </font>
    <font>
      <b/>
      <sz val="11"/>
      <color theme="0"/>
      <name val="Arial Black"/>
      <family val="2"/>
    </font>
    <font>
      <sz val="11"/>
      <color theme="1"/>
      <name val="Arial Black"/>
      <family val="2"/>
    </font>
    <font>
      <b/>
      <sz val="9"/>
      <name val="Arial Black"/>
      <family val="2"/>
    </font>
    <font>
      <sz val="10"/>
      <color theme="1"/>
      <name val="Aptos Narrow"/>
      <family val="2"/>
      <scheme val="minor"/>
    </font>
    <font>
      <sz val="36"/>
      <name val="Arial Black"/>
      <family val="2"/>
    </font>
    <font>
      <sz val="9"/>
      <color theme="0"/>
      <name val="Arial Black"/>
      <family val="2"/>
    </font>
    <font>
      <b/>
      <sz val="9"/>
      <color theme="0"/>
      <name val="Arial Black"/>
      <family val="2"/>
    </font>
    <font>
      <b/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6" fontId="0" fillId="0" borderId="0" xfId="0" applyNumberFormat="1"/>
    <xf numFmtId="0" fontId="0" fillId="2" borderId="0" xfId="0" applyFill="1"/>
    <xf numFmtId="6" fontId="0" fillId="3" borderId="0" xfId="0" applyNumberFormat="1" applyFill="1"/>
    <xf numFmtId="6" fontId="0" fillId="4" borderId="0" xfId="0" applyNumberFormat="1" applyFill="1"/>
    <xf numFmtId="0" fontId="0" fillId="2" borderId="0" xfId="1" applyNumberFormat="1" applyFont="1" applyFill="1" applyBorder="1" applyAlignment="1">
      <alignment horizontal="left" indent="1"/>
    </xf>
    <xf numFmtId="0" fontId="13" fillId="2" borderId="0" xfId="0" applyFont="1" applyFill="1"/>
    <xf numFmtId="0" fontId="13" fillId="2" borderId="0" xfId="0" applyFont="1" applyFill="1" applyBorder="1"/>
    <xf numFmtId="0" fontId="0" fillId="2" borderId="0" xfId="0" applyFill="1" applyBorder="1" applyAlignment="1">
      <alignment horizontal="left" wrapText="1"/>
    </xf>
    <xf numFmtId="0" fontId="0" fillId="2" borderId="0" xfId="0" applyFill="1" applyBorder="1" applyAlignment="1">
      <alignment horizontal="right" indent="1"/>
    </xf>
    <xf numFmtId="0" fontId="0" fillId="0" borderId="0" xfId="0" applyBorder="1"/>
    <xf numFmtId="0" fontId="3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horizontal="left" vertical="top"/>
    </xf>
    <xf numFmtId="0" fontId="4" fillId="2" borderId="0" xfId="0" applyFont="1" applyFill="1" applyBorder="1" applyAlignment="1">
      <alignment horizontal="right" vertical="center"/>
    </xf>
    <xf numFmtId="0" fontId="7" fillId="2" borderId="0" xfId="0" applyFont="1" applyFill="1" applyBorder="1" applyAlignment="1">
      <alignment horizontal="left" vertical="center"/>
    </xf>
    <xf numFmtId="0" fontId="12" fillId="2" borderId="0" xfId="0" applyFont="1" applyFill="1" applyBorder="1"/>
    <xf numFmtId="164" fontId="2" fillId="2" borderId="0" xfId="0" applyNumberFormat="1" applyFont="1" applyFill="1" applyBorder="1"/>
    <xf numFmtId="0" fontId="0" fillId="2" borderId="0" xfId="0" applyFill="1" applyBorder="1" applyAlignment="1">
      <alignment horizontal="center"/>
    </xf>
    <xf numFmtId="0" fontId="2" fillId="2" borderId="0" xfId="0" applyFont="1" applyFill="1" applyBorder="1"/>
    <xf numFmtId="0" fontId="0" fillId="2" borderId="0" xfId="0" applyFill="1" applyBorder="1"/>
    <xf numFmtId="0" fontId="5" fillId="2" borderId="0" xfId="0" applyFont="1" applyFill="1" applyBorder="1"/>
    <xf numFmtId="0" fontId="6" fillId="2" borderId="0" xfId="0" applyFont="1" applyFill="1" applyBorder="1" applyAlignment="1">
      <alignment horizontal="center"/>
    </xf>
    <xf numFmtId="0" fontId="0" fillId="2" borderId="0" xfId="0" applyFill="1" applyBorder="1" applyAlignment="1">
      <alignment horizontal="left" wrapText="1"/>
    </xf>
    <xf numFmtId="165" fontId="0" fillId="2" borderId="0" xfId="1" applyNumberFormat="1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8" fillId="2" borderId="0" xfId="0" applyFont="1" applyFill="1" applyBorder="1"/>
    <xf numFmtId="165" fontId="2" fillId="2" borderId="0" xfId="1" applyNumberFormat="1" applyFont="1" applyFill="1" applyBorder="1" applyAlignment="1">
      <alignment horizontal="center"/>
    </xf>
    <xf numFmtId="0" fontId="0" fillId="2" borderId="0" xfId="0" applyFill="1" applyBorder="1" applyAlignment="1">
      <alignment horizontal="left" indent="1"/>
    </xf>
    <xf numFmtId="0" fontId="10" fillId="2" borderId="0" xfId="0" applyFont="1" applyFill="1" applyBorder="1" applyAlignment="1">
      <alignment horizontal="left" vertical="center"/>
    </xf>
    <xf numFmtId="0" fontId="14" fillId="2" borderId="0" xfId="0" applyFont="1" applyFill="1" applyBorder="1" applyAlignment="1">
      <alignment horizontal="left" vertical="center"/>
    </xf>
    <xf numFmtId="0" fontId="13" fillId="2" borderId="0" xfId="0" applyFont="1" applyFill="1" applyBorder="1" applyAlignment="1">
      <alignment horizontal="left" vertical="center"/>
    </xf>
    <xf numFmtId="0" fontId="13" fillId="2" borderId="0" xfId="0" applyFont="1" applyFill="1" applyBorder="1" applyAlignment="1">
      <alignment horizontal="left" vertical="center"/>
    </xf>
    <xf numFmtId="0" fontId="0" fillId="2" borderId="0" xfId="1" applyNumberFormat="1" applyFont="1" applyFill="1" applyBorder="1" applyAlignment="1"/>
    <xf numFmtId="165" fontId="0" fillId="2" borderId="1" xfId="1" applyNumberFormat="1" applyFont="1" applyFill="1" applyBorder="1" applyAlignment="1">
      <alignment horizontal="center"/>
    </xf>
    <xf numFmtId="0" fontId="11" fillId="5" borderId="0" xfId="0" applyFont="1" applyFill="1" applyBorder="1" applyAlignment="1">
      <alignment horizontal="left" vertical="center"/>
    </xf>
    <xf numFmtId="0" fontId="11" fillId="5" borderId="0" xfId="0" applyFont="1" applyFill="1" applyBorder="1" applyAlignment="1">
      <alignment horizontal="left" vertical="center"/>
    </xf>
    <xf numFmtId="0" fontId="11" fillId="5" borderId="0" xfId="0" applyFont="1" applyFill="1" applyBorder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80961</xdr:rowOff>
    </xdr:from>
    <xdr:to>
      <xdr:col>2</xdr:col>
      <xdr:colOff>1832727</xdr:colOff>
      <xdr:row>5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8DD480-9779-239F-B268-06AA80684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961"/>
          <a:ext cx="3247190" cy="15240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4156DBEC-7A1C-15BA-70B7-39E159E4643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3074" name="AutoShape 2">
          <a:extLst>
            <a:ext uri="{FF2B5EF4-FFF2-40B4-BE49-F238E27FC236}">
              <a16:creationId xmlns:a16="http://schemas.microsoft.com/office/drawing/2014/main" id="{15D30127-BA69-0F0C-A331-FF26A7FDB87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3075" name="AutoShape 3">
          <a:extLst>
            <a:ext uri="{FF2B5EF4-FFF2-40B4-BE49-F238E27FC236}">
              <a16:creationId xmlns:a16="http://schemas.microsoft.com/office/drawing/2014/main" id="{C6AF188E-7746-8525-ACE0-9AF4E5993EC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3076" name="AutoShape 4">
          <a:extLst>
            <a:ext uri="{FF2B5EF4-FFF2-40B4-BE49-F238E27FC236}">
              <a16:creationId xmlns:a16="http://schemas.microsoft.com/office/drawing/2014/main" id="{A4006CE8-D975-D852-E955-EC2906E654BD}"/>
            </a:ext>
          </a:extLst>
        </xdr:cNvPr>
        <xdr:cNvSpPr>
          <a:spLocks noChangeAspect="1" noChangeArrowheads="1"/>
        </xdr:cNvSpPr>
      </xdr:nvSpPr>
      <xdr:spPr bwMode="auto">
        <a:xfrm>
          <a:off x="0" y="36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159C6-A239-4055-BA7B-D38450564C1F}">
  <dimension ref="C7:K20"/>
  <sheetViews>
    <sheetView zoomScale="130" zoomScaleNormal="130" workbookViewId="0">
      <selection activeCell="D7" sqref="D7:D11"/>
    </sheetView>
  </sheetViews>
  <sheetFormatPr defaultRowHeight="14.25" x14ac:dyDescent="0.45"/>
  <cols>
    <col min="3" max="3" width="33.46484375" bestFit="1" customWidth="1"/>
    <col min="11" max="11" width="13" customWidth="1"/>
  </cols>
  <sheetData>
    <row r="7" spans="3:11" x14ac:dyDescent="0.45">
      <c r="C7" t="s">
        <v>2</v>
      </c>
      <c r="D7" s="3">
        <v>250</v>
      </c>
    </row>
    <row r="8" spans="3:11" x14ac:dyDescent="0.45">
      <c r="C8" t="s">
        <v>1</v>
      </c>
      <c r="D8" s="3"/>
    </row>
    <row r="9" spans="3:11" x14ac:dyDescent="0.45">
      <c r="C9" t="s">
        <v>0</v>
      </c>
      <c r="D9" s="4">
        <v>1500</v>
      </c>
    </row>
    <row r="10" spans="3:11" x14ac:dyDescent="0.45">
      <c r="C10" t="s">
        <v>3</v>
      </c>
      <c r="D10" s="3">
        <v>500</v>
      </c>
    </row>
    <row r="11" spans="3:11" x14ac:dyDescent="0.45">
      <c r="C11" t="s">
        <v>4</v>
      </c>
      <c r="D11" s="3">
        <v>100</v>
      </c>
    </row>
    <row r="12" spans="3:11" x14ac:dyDescent="0.45">
      <c r="D12" s="1"/>
    </row>
    <row r="13" spans="3:11" x14ac:dyDescent="0.45">
      <c r="D13" s="1">
        <f>SUM(D7:D12)</f>
        <v>2350</v>
      </c>
    </row>
    <row r="15" spans="3:11" x14ac:dyDescent="0.45">
      <c r="C15" t="s">
        <v>5</v>
      </c>
      <c r="D15" s="1">
        <v>4100</v>
      </c>
      <c r="F15">
        <v>2500</v>
      </c>
      <c r="G15">
        <v>350</v>
      </c>
      <c r="H15">
        <v>360</v>
      </c>
      <c r="I15">
        <v>200</v>
      </c>
      <c r="J15">
        <v>200</v>
      </c>
      <c r="K15">
        <f>SUM(F15:J15)</f>
        <v>3610</v>
      </c>
    </row>
    <row r="17" spans="3:8" x14ac:dyDescent="0.45">
      <c r="C17" t="s">
        <v>6</v>
      </c>
      <c r="D17" s="1">
        <f>SUM(D13-D15)</f>
        <v>-1750</v>
      </c>
    </row>
    <row r="18" spans="3:8" x14ac:dyDescent="0.45">
      <c r="D18" s="1"/>
    </row>
    <row r="20" spans="3:8" x14ac:dyDescent="0.45">
      <c r="G20" t="s">
        <v>14</v>
      </c>
      <c r="H20">
        <v>1050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EE21D-71AE-40E8-9231-394673196F03}">
  <dimension ref="A1:H36"/>
  <sheetViews>
    <sheetView tabSelected="1" view="pageBreakPreview" topLeftCell="C6" zoomScale="128" zoomScaleNormal="55" zoomScaleSheetLayoutView="100" workbookViewId="0">
      <selection activeCell="E20" sqref="E20"/>
    </sheetView>
  </sheetViews>
  <sheetFormatPr defaultRowHeight="14.25" x14ac:dyDescent="0.45"/>
  <cols>
    <col min="1" max="1" width="7.59765625" style="2" customWidth="1"/>
    <col min="2" max="2" width="12.19921875" customWidth="1"/>
    <col min="3" max="3" width="54.6640625" customWidth="1"/>
    <col min="4" max="4" width="16.3984375" customWidth="1"/>
    <col min="5" max="5" width="11.9296875" customWidth="1"/>
    <col min="6" max="6" width="17.265625" customWidth="1"/>
    <col min="7" max="7" width="0.33203125" customWidth="1"/>
    <col min="8" max="8" width="1.19921875" style="2" customWidth="1"/>
  </cols>
  <sheetData>
    <row r="1" spans="2:8" x14ac:dyDescent="0.45">
      <c r="B1" s="10"/>
      <c r="C1" s="10"/>
      <c r="D1" s="10"/>
      <c r="E1" s="10"/>
      <c r="F1" s="10"/>
      <c r="G1" s="10"/>
      <c r="H1" s="19"/>
    </row>
    <row r="2" spans="2:8" ht="55.15" x14ac:dyDescent="0.45">
      <c r="B2" s="10"/>
      <c r="C2" s="11"/>
      <c r="D2" s="12" t="s">
        <v>17</v>
      </c>
      <c r="E2" s="13"/>
      <c r="F2" s="13" cm="1">
        <f t="array" aca="1" ref="F2" ca="1">B2:H28</f>
        <v>0</v>
      </c>
      <c r="G2" s="10"/>
      <c r="H2" s="19"/>
    </row>
    <row r="3" spans="2:8" ht="18" customHeight="1" x14ac:dyDescent="0.45">
      <c r="B3" s="11"/>
      <c r="C3" s="10"/>
      <c r="D3" s="14" t="s">
        <v>18</v>
      </c>
      <c r="E3" s="13"/>
      <c r="F3" s="13"/>
      <c r="G3" s="10"/>
      <c r="H3" s="19"/>
    </row>
    <row r="4" spans="2:8" s="6" customFormat="1" ht="16.25" customHeight="1" x14ac:dyDescent="0.4">
      <c r="B4" s="15"/>
      <c r="C4" s="7"/>
      <c r="D4" s="29" t="s">
        <v>19</v>
      </c>
      <c r="E4" s="28"/>
      <c r="F4" s="28"/>
      <c r="G4" s="30"/>
      <c r="H4" s="30"/>
    </row>
    <row r="5" spans="2:8" s="6" customFormat="1" ht="16.149999999999999" customHeight="1" x14ac:dyDescent="0.4">
      <c r="B5" s="15"/>
      <c r="C5" s="7"/>
      <c r="D5" s="31" t="s">
        <v>20</v>
      </c>
      <c r="E5" s="31"/>
      <c r="F5" s="31"/>
      <c r="G5" s="31"/>
      <c r="H5" s="31"/>
    </row>
    <row r="6" spans="2:8" s="6" customFormat="1" ht="16.25" customHeight="1" x14ac:dyDescent="0.4">
      <c r="B6" s="15"/>
      <c r="C6" s="7"/>
      <c r="D6" s="29" t="s">
        <v>21</v>
      </c>
      <c r="E6" s="28"/>
      <c r="F6" s="28"/>
      <c r="G6" s="30"/>
      <c r="H6" s="30"/>
    </row>
    <row r="7" spans="2:8" x14ac:dyDescent="0.45">
      <c r="B7" s="15"/>
      <c r="C7" s="7"/>
      <c r="D7" s="10"/>
      <c r="E7" s="10"/>
      <c r="F7" s="10"/>
      <c r="G7" s="10"/>
      <c r="H7" s="19"/>
    </row>
    <row r="8" spans="2:8" x14ac:dyDescent="0.45">
      <c r="B8" s="10" t="s">
        <v>24</v>
      </c>
      <c r="C8" s="10"/>
      <c r="D8" s="16" t="s">
        <v>16</v>
      </c>
      <c r="E8" s="17"/>
      <c r="F8" s="17"/>
      <c r="G8" s="10"/>
      <c r="H8" s="19"/>
    </row>
    <row r="9" spans="2:8" x14ac:dyDescent="0.45">
      <c r="B9" s="32" t="s">
        <v>27</v>
      </c>
      <c r="C9" s="32"/>
      <c r="D9" s="18" t="s">
        <v>36</v>
      </c>
      <c r="E9" s="18"/>
      <c r="F9" s="18"/>
      <c r="G9" s="10"/>
      <c r="H9" s="19"/>
    </row>
    <row r="10" spans="2:8" x14ac:dyDescent="0.45">
      <c r="B10" s="32" t="s">
        <v>12</v>
      </c>
      <c r="C10" s="32"/>
      <c r="D10" s="19" t="s">
        <v>22</v>
      </c>
      <c r="E10" s="19"/>
      <c r="F10" s="19"/>
      <c r="G10" s="10"/>
      <c r="H10" s="19"/>
    </row>
    <row r="11" spans="2:8" x14ac:dyDescent="0.45">
      <c r="B11" s="32" t="s">
        <v>25</v>
      </c>
      <c r="C11" s="32"/>
      <c r="D11" s="19" t="s">
        <v>23</v>
      </c>
      <c r="E11" s="19"/>
      <c r="F11" s="19"/>
      <c r="G11" s="10"/>
      <c r="H11" s="19"/>
    </row>
    <row r="12" spans="2:8" ht="14.25" customHeight="1" x14ac:dyDescent="0.45">
      <c r="B12" s="32" t="s">
        <v>26</v>
      </c>
      <c r="C12" s="32"/>
      <c r="D12" s="19"/>
      <c r="E12" s="19"/>
      <c r="F12" s="19"/>
      <c r="G12" s="10"/>
      <c r="H12" s="19"/>
    </row>
    <row r="13" spans="2:8" ht="14.25" customHeight="1" x14ac:dyDescent="0.65">
      <c r="B13" s="20"/>
      <c r="C13" s="20"/>
      <c r="D13" s="18" t="s">
        <v>15</v>
      </c>
      <c r="E13" s="18"/>
      <c r="F13" s="18"/>
      <c r="G13" s="10"/>
      <c r="H13" s="19"/>
    </row>
    <row r="14" spans="2:8" ht="14.25" customHeight="1" x14ac:dyDescent="0.65">
      <c r="B14" s="20"/>
      <c r="C14" s="20"/>
      <c r="D14" s="18" t="s">
        <v>32</v>
      </c>
      <c r="E14" s="18"/>
      <c r="F14" s="18"/>
      <c r="G14" s="10"/>
      <c r="H14" s="19"/>
    </row>
    <row r="15" spans="2:8" ht="16.899999999999999" x14ac:dyDescent="0.65">
      <c r="B15" s="20"/>
      <c r="C15" s="20"/>
      <c r="D15" s="18"/>
      <c r="E15" s="19"/>
      <c r="F15" s="19"/>
      <c r="G15" s="10"/>
      <c r="H15" s="19"/>
    </row>
    <row r="16" spans="2:8" ht="16.899999999999999" x14ac:dyDescent="0.65">
      <c r="B16" s="5"/>
      <c r="C16" s="5"/>
      <c r="D16" s="21"/>
      <c r="E16" s="21"/>
      <c r="F16" s="21"/>
      <c r="G16" s="10"/>
      <c r="H16" s="19"/>
    </row>
    <row r="17" spans="2:8" x14ac:dyDescent="0.45">
      <c r="B17" s="34" t="s">
        <v>28</v>
      </c>
      <c r="C17" s="34"/>
      <c r="D17" s="35" t="s">
        <v>30</v>
      </c>
      <c r="E17" s="36" t="s">
        <v>29</v>
      </c>
      <c r="F17" s="36" t="s">
        <v>7</v>
      </c>
      <c r="G17" s="10"/>
      <c r="H17" s="19"/>
    </row>
    <row r="18" spans="2:8" ht="13.25" customHeight="1" x14ac:dyDescent="0.45">
      <c r="B18" s="22" t="s">
        <v>34</v>
      </c>
      <c r="C18" s="22"/>
      <c r="D18" s="27">
        <v>9</v>
      </c>
      <c r="E18" s="23">
        <v>900</v>
      </c>
      <c r="F18" s="23">
        <f>D18*E18</f>
        <v>8100</v>
      </c>
      <c r="G18" s="10"/>
      <c r="H18" s="19"/>
    </row>
    <row r="19" spans="2:8" ht="13.25" customHeight="1" x14ac:dyDescent="0.45">
      <c r="B19" s="22" t="s">
        <v>31</v>
      </c>
      <c r="C19" s="22"/>
      <c r="D19" s="27">
        <v>1</v>
      </c>
      <c r="E19" s="23">
        <v>650</v>
      </c>
      <c r="F19" s="23">
        <f>D19*E19</f>
        <v>650</v>
      </c>
      <c r="G19" s="10"/>
      <c r="H19" s="19"/>
    </row>
    <row r="20" spans="2:8" ht="13.25" customHeight="1" x14ac:dyDescent="0.45">
      <c r="B20" s="22" t="s">
        <v>33</v>
      </c>
      <c r="C20" s="22"/>
      <c r="D20" s="27">
        <v>2</v>
      </c>
      <c r="E20" s="23">
        <v>25</v>
      </c>
      <c r="F20" s="23">
        <f>D20*E20</f>
        <v>50</v>
      </c>
      <c r="G20" s="10"/>
      <c r="H20" s="19"/>
    </row>
    <row r="21" spans="2:8" ht="13.25" customHeight="1" x14ac:dyDescent="0.45">
      <c r="B21" s="22" t="s">
        <v>35</v>
      </c>
      <c r="C21" s="22"/>
      <c r="D21" s="27">
        <v>1</v>
      </c>
      <c r="E21" s="23">
        <v>1250</v>
      </c>
      <c r="F21" s="23">
        <f>D21*E21</f>
        <v>1250</v>
      </c>
      <c r="G21" s="10"/>
      <c r="H21" s="19"/>
    </row>
    <row r="22" spans="2:8" ht="13.25" customHeight="1" x14ac:dyDescent="0.45">
      <c r="B22" s="8"/>
      <c r="C22" s="8"/>
      <c r="D22" s="9"/>
      <c r="E22" s="23"/>
      <c r="F22" s="23"/>
      <c r="G22" s="10"/>
      <c r="H22" s="19"/>
    </row>
    <row r="23" spans="2:8" ht="13.25" customHeight="1" thickBot="1" x14ac:dyDescent="0.5">
      <c r="B23" s="8"/>
      <c r="C23" s="8"/>
      <c r="D23" s="9"/>
      <c r="E23" s="33"/>
      <c r="F23" s="33"/>
      <c r="G23" s="10"/>
      <c r="H23" s="19"/>
    </row>
    <row r="24" spans="2:8" ht="14.65" thickTop="1" x14ac:dyDescent="0.45">
      <c r="B24" s="19"/>
      <c r="C24" s="19"/>
      <c r="D24" s="19"/>
      <c r="E24" s="24" t="s">
        <v>9</v>
      </c>
      <c r="F24" s="23">
        <f>SUM(F18:F23)</f>
        <v>10050</v>
      </c>
      <c r="G24" s="10"/>
      <c r="H24" s="19"/>
    </row>
    <row r="25" spans="2:8" x14ac:dyDescent="0.45">
      <c r="B25" s="19"/>
      <c r="C25" s="19"/>
      <c r="D25" s="19"/>
      <c r="E25" s="24" t="s">
        <v>10</v>
      </c>
      <c r="F25" s="23">
        <f>F24*15%</f>
        <v>1507.5</v>
      </c>
      <c r="G25" s="10"/>
      <c r="H25" s="19"/>
    </row>
    <row r="26" spans="2:8" x14ac:dyDescent="0.45">
      <c r="B26" s="25"/>
      <c r="C26" s="19"/>
      <c r="D26" s="19"/>
      <c r="E26" s="24" t="s">
        <v>11</v>
      </c>
      <c r="F26" s="26">
        <f>F24+F25</f>
        <v>11557.5</v>
      </c>
      <c r="G26" s="10"/>
      <c r="H26" s="19"/>
    </row>
    <row r="27" spans="2:8" x14ac:dyDescent="0.45">
      <c r="B27" s="19"/>
      <c r="C27" s="19"/>
      <c r="D27" s="19"/>
      <c r="E27" s="19"/>
      <c r="F27" s="19"/>
      <c r="G27" s="10"/>
      <c r="H27" s="19"/>
    </row>
    <row r="28" spans="2:8" x14ac:dyDescent="0.45">
      <c r="B28" s="19"/>
      <c r="C28" s="19"/>
      <c r="D28" s="19"/>
      <c r="E28" s="19"/>
      <c r="F28" s="19"/>
      <c r="G28" s="10"/>
      <c r="H28" s="19"/>
    </row>
    <row r="29" spans="2:8" x14ac:dyDescent="0.45">
      <c r="B29" s="19"/>
      <c r="C29" s="19"/>
      <c r="D29" s="19"/>
      <c r="E29" s="19"/>
      <c r="F29" s="19"/>
      <c r="G29" s="10"/>
      <c r="H29" s="19"/>
    </row>
    <row r="30" spans="2:8" x14ac:dyDescent="0.45">
      <c r="B30" s="19"/>
      <c r="C30" s="19"/>
      <c r="D30" s="19"/>
      <c r="E30" s="19"/>
      <c r="F30" s="19"/>
      <c r="G30" s="10"/>
      <c r="H30" s="19"/>
    </row>
    <row r="31" spans="2:8" x14ac:dyDescent="0.45">
      <c r="B31" s="18" t="s">
        <v>8</v>
      </c>
      <c r="C31" s="19"/>
      <c r="D31" s="19"/>
      <c r="E31" s="19"/>
      <c r="F31" s="19"/>
      <c r="G31" s="10"/>
      <c r="H31" s="19"/>
    </row>
    <row r="32" spans="2:8" x14ac:dyDescent="0.45">
      <c r="B32" s="25" t="s">
        <v>13</v>
      </c>
      <c r="C32" s="19"/>
      <c r="D32" s="19"/>
      <c r="E32" s="19"/>
      <c r="F32" s="19"/>
      <c r="G32" s="10"/>
      <c r="H32" s="19"/>
    </row>
    <row r="33" spans="2:8" x14ac:dyDescent="0.45">
      <c r="B33" s="19"/>
      <c r="C33" s="19"/>
      <c r="D33" s="19"/>
      <c r="E33" s="19"/>
      <c r="F33" s="19"/>
      <c r="G33" s="10"/>
      <c r="H33" s="19"/>
    </row>
    <row r="34" spans="2:8" x14ac:dyDescent="0.45">
      <c r="B34" s="19"/>
      <c r="C34" s="19"/>
      <c r="D34" s="19"/>
      <c r="E34" s="19"/>
      <c r="F34" s="19"/>
      <c r="G34" s="10"/>
      <c r="H34" s="19"/>
    </row>
    <row r="35" spans="2:8" x14ac:dyDescent="0.45">
      <c r="B35" s="19"/>
      <c r="C35" s="19"/>
      <c r="D35" s="19"/>
      <c r="E35" s="19"/>
      <c r="F35" s="19"/>
      <c r="G35" s="10"/>
      <c r="H35" s="19"/>
    </row>
    <row r="36" spans="2:8" x14ac:dyDescent="0.45">
      <c r="B36" s="19"/>
      <c r="C36" s="19"/>
      <c r="D36" s="19"/>
      <c r="E36" s="19"/>
      <c r="F36" s="19"/>
      <c r="G36" s="10"/>
      <c r="H36" s="19"/>
    </row>
  </sheetData>
  <mergeCells count="8">
    <mergeCell ref="B18:C18"/>
    <mergeCell ref="B19:C19"/>
    <mergeCell ref="B17:C17"/>
    <mergeCell ref="B21:C21"/>
    <mergeCell ref="B20:C20"/>
    <mergeCell ref="D5:H5"/>
    <mergeCell ref="E8:F8"/>
    <mergeCell ref="B16:C16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69282-B511-4388-8DEF-C344DAA99071}">
  <dimension ref="A1"/>
  <sheetViews>
    <sheetView workbookViewId="0">
      <selection activeCell="A8" sqref="A8"/>
    </sheetView>
  </sheetViews>
  <sheetFormatPr defaultRowHeight="14.25" x14ac:dyDescent="0.4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Adriaan Naudé</dc:creator>
  <cp:lastModifiedBy>Jan Adriaan Naudé</cp:lastModifiedBy>
  <cp:lastPrinted>2026-05-06T16:11:12Z</cp:lastPrinted>
  <dcterms:created xsi:type="dcterms:W3CDTF">2026-04-20T10:48:37Z</dcterms:created>
  <dcterms:modified xsi:type="dcterms:W3CDTF">2026-05-06T16:11:16Z</dcterms:modified>
</cp:coreProperties>
</file>